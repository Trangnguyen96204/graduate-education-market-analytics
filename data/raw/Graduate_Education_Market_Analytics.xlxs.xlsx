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cuments\GitHub\graduate-education-market-analytics\data\raw\"/>
    </mc:Choice>
  </mc:AlternateContent>
  <bookViews>
    <workbookView xWindow="0" yWindow="0" windowWidth="28800" windowHeight="12330" activeTab="1"/>
  </bookViews>
  <sheets>
    <sheet name="Raw_Data" sheetId="1" r:id="rId1"/>
    <sheet name="Data_Quality_Check" sheetId="8" r:id="rId2"/>
    <sheet name="Lookup" sheetId="6" r:id="rId3"/>
    <sheet name="Data_Dictionary" sheetId="2" r:id="rId4"/>
    <sheet name="Data_Quality_Log" sheetId="3" r:id="rId5"/>
    <sheet name="Cleaning_Log" sheetId="4" r:id="rId6"/>
    <sheet name="README" sheetId="5" r:id="rId7"/>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3" i="8" l="1"/>
  <c r="D12" i="8"/>
  <c r="D11" i="8"/>
  <c r="D10" i="8"/>
  <c r="D9" i="8"/>
  <c r="D8" i="8"/>
  <c r="D7" i="8"/>
  <c r="D6" i="8"/>
  <c r="D5" i="8"/>
  <c r="D4" i="8"/>
  <c r="D3" i="8"/>
  <c r="D2" i="8"/>
  <c r="B8" i="8"/>
  <c r="B7" i="8"/>
  <c r="B13" i="8"/>
  <c r="B12" i="8"/>
  <c r="B11" i="8"/>
  <c r="B10" i="8"/>
  <c r="B9" i="8"/>
  <c r="B6" i="8"/>
  <c r="B5" i="8"/>
  <c r="B4" i="8"/>
  <c r="B3" i="8"/>
  <c r="B2" i="8"/>
  <c r="Q3" i="1" l="1"/>
  <c r="Q4" i="1"/>
  <c r="Q5" i="1"/>
  <c r="Q6" i="1"/>
  <c r="Q7" i="1"/>
  <c r="Q8" i="1"/>
  <c r="Q9" i="1"/>
  <c r="Q10" i="1"/>
  <c r="Q11" i="1"/>
  <c r="Q12" i="1"/>
  <c r="Q13" i="1"/>
  <c r="Q14" i="1"/>
  <c r="Q15" i="1"/>
  <c r="Q16" i="1"/>
  <c r="Q17" i="1"/>
  <c r="Q18" i="1"/>
  <c r="Q19" i="1"/>
  <c r="Q20" i="1"/>
  <c r="Q21" i="1"/>
  <c r="Q22" i="1"/>
  <c r="Q23" i="1"/>
  <c r="Q24" i="1"/>
  <c r="Q25" i="1"/>
  <c r="Q2" i="1"/>
</calcChain>
</file>

<file path=xl/sharedStrings.xml><?xml version="1.0" encoding="utf-8"?>
<sst xmlns="http://schemas.openxmlformats.org/spreadsheetml/2006/main" count="457" uniqueCount="233">
  <si>
    <t>University</t>
  </si>
  <si>
    <t>Country</t>
  </si>
  <si>
    <t>City</t>
  </si>
  <si>
    <t>Program</t>
  </si>
  <si>
    <t>Discipline</t>
  </si>
  <si>
    <t>Language</t>
  </si>
  <si>
    <t xml:space="preserve">QS Ranking </t>
  </si>
  <si>
    <t>Tuition USD</t>
  </si>
  <si>
    <t>Scholarship Coverage</t>
  </si>
  <si>
    <t>Notes</t>
  </si>
  <si>
    <t>Korea University</t>
  </si>
  <si>
    <t>Yonsei University</t>
  </si>
  <si>
    <t>Hanyang University</t>
  </si>
  <si>
    <t>Ewha Women University</t>
  </si>
  <si>
    <t>South Korea</t>
  </si>
  <si>
    <t>Seoul</t>
  </si>
  <si>
    <t>Management Engineering</t>
  </si>
  <si>
    <t>Business Analytics</t>
  </si>
  <si>
    <t>Industrial Engineering (DA Track)</t>
  </si>
  <si>
    <t>English</t>
  </si>
  <si>
    <t>Zhejiang University</t>
  </si>
  <si>
    <t>Shanghai Jiaotong University</t>
  </si>
  <si>
    <t>Fudan University</t>
  </si>
  <si>
    <t xml:space="preserve">Renmin University of China </t>
  </si>
  <si>
    <t>Communication University of China (CUC)</t>
  </si>
  <si>
    <t>Program Category</t>
  </si>
  <si>
    <t>China</t>
  </si>
  <si>
    <t>MSE</t>
  </si>
  <si>
    <t>New Media studies</t>
  </si>
  <si>
    <t>Hangzhou</t>
  </si>
  <si>
    <t>Shanghai</t>
  </si>
  <si>
    <t>Beijing</t>
  </si>
  <si>
    <t>Information Management</t>
  </si>
  <si>
    <t>Management &amp; Engineering</t>
  </si>
  <si>
    <t>Information Systems</t>
  </si>
  <si>
    <t>Busienss &amp; Technology</t>
  </si>
  <si>
    <t>Analytics</t>
  </si>
  <si>
    <t>Media &amp; Communication</t>
  </si>
  <si>
    <t>Duration (Years)</t>
  </si>
  <si>
    <t>Column</t>
  </si>
  <si>
    <t>Data Type</t>
  </si>
  <si>
    <t>Example</t>
  </si>
  <si>
    <t>Text</t>
  </si>
  <si>
    <t>QS Ranking</t>
  </si>
  <si>
    <t>Number</t>
  </si>
  <si>
    <t>Official English name of the university offering the master's program.</t>
  </si>
  <si>
    <t>Country where the university is located.</t>
  </si>
  <si>
    <t>City where the university's main campus offering the program is located.</t>
  </si>
  <si>
    <t>Meaning (Business Meaning)</t>
  </si>
  <si>
    <t>Official name of the master's degree program.</t>
  </si>
  <si>
    <t>Broad academic field used to group similar programs for analysis (e.g., Business Analytics, Management Science &amp; Engineering, Digital Media).</t>
  </si>
  <si>
    <t>Specific academic discipline or specialization of the program.</t>
  </si>
  <si>
    <t>Primary language of instruction for the program.</t>
  </si>
  <si>
    <t>Standard length of the master's program measured in years.</t>
  </si>
  <si>
    <t>QS World University Ranking of the university for the selected ranking year.</t>
  </si>
  <si>
    <t>Estimated annual tuition fee in US dollars before applying any scholarship.</t>
  </si>
  <si>
    <t>Availability of scholarships for international students (Yes/No or Scholarship Name).</t>
  </si>
  <si>
    <t>Tuition and/or living expenses covered by the scholarship.</t>
  </si>
  <si>
    <t>Internship Available</t>
  </si>
  <si>
    <t>Indicates whether internship opportunities are available or integrated into the program.</t>
  </si>
  <si>
    <t>Additional remarks or important information that cannot be captured by other variables.</t>
  </si>
  <si>
    <t>Use the official English university name.</t>
  </si>
  <si>
    <t>Use standardized country names (e.g., China, South Korea).</t>
  </si>
  <si>
    <t>Use the official English city name.</t>
  </si>
  <si>
    <t>Master of Science in Business Analytics</t>
  </si>
  <si>
    <t>Use the official program title from the university website.</t>
  </si>
  <si>
    <t>Use predefined categories only.</t>
  </si>
  <si>
    <t>Data Analytics</t>
  </si>
  <si>
    <t>Use a consistent discipline classification.</t>
  </si>
  <si>
    <t>Use only English, Chinese, Korean, or Bilingual.</t>
  </si>
  <si>
    <t>Numeric values only (e.g., 1, 1.5, 2).</t>
  </si>
  <si>
    <t>Use the selected QS ranking year consistently. Lower rank number = better ranking.</t>
  </si>
  <si>
    <t>Currency / Number</t>
  </si>
  <si>
    <t>Annual tuition in USD before scholarship. Do not include "$".</t>
  </si>
  <si>
    <t>CSC Scholarship</t>
  </si>
  <si>
    <t>Use "None" if no scholarship is available.</t>
  </si>
  <si>
    <t>Full Tuition + Stipend</t>
  </si>
  <si>
    <t>Use standardized descriptions (e.g., Full Tuition, Full Tuition + Stipend, Partial Tuition).</t>
  </si>
  <si>
    <t>Boolean / Text</t>
  </si>
  <si>
    <t>Yes</t>
  </si>
  <si>
    <t>Use only Yes or No.</t>
  </si>
  <si>
    <t>Thesis required</t>
  </si>
  <si>
    <t>Additional information not covered by other columns.</t>
  </si>
  <si>
    <t>Allowed Values</t>
  </si>
  <si>
    <t>Free Text (Official English University Name)</t>
  </si>
  <si>
    <t>China; South Korea</t>
  </si>
  <si>
    <t>Free Text (Official English City Name)</t>
  </si>
  <si>
    <t>Free Text (Official Program Name)</t>
  </si>
  <si>
    <t>Business Analytics; Management Science &amp; Engineering; Management Information Systems; Digital Media; Communication; Information Systems; Data Science; Artificial Intelligence; Computer Science; Business Administration</t>
  </si>
  <si>
    <t>Data Analytics; Business Analytics; Business Intelligence; Information Systems; Digital Transformation; Artificial Intelligence; Machine Learning; Digital Media; Communication; Finance; Accounting; Marketing; Operations Management; Supply Chain; Economics; Management</t>
  </si>
  <si>
    <t>English; Chinese; Korean; Bilingual</t>
  </si>
  <si>
    <t>1; 1.5; 2; 2.5; 3</t>
  </si>
  <si>
    <t>Positive Integer</t>
  </si>
  <si>
    <t>Positive Number</t>
  </si>
  <si>
    <t>CSC Scholarship; Chinese University Scholarship; KGSP/GKS; University Scholarship; Government Scholarship; Department Scholarship; None</t>
  </si>
  <si>
    <t>Full Tuition; Full Tuition + Stipend; Tuition Waiver; Partial Tuition; Full Scholarship; Not Available</t>
  </si>
  <si>
    <t>Yes; No</t>
  </si>
  <si>
    <t>Free Text</t>
  </si>
  <si>
    <t>Scholarship Name</t>
  </si>
  <si>
    <t>Rule ID</t>
  </si>
  <si>
    <t>Description</t>
  </si>
  <si>
    <t>One row represents one master's degree program offered by one university.</t>
  </si>
  <si>
    <t>Tuition is recorded as annual tuition in USD before scholarship.</t>
  </si>
  <si>
    <t>Rule 1</t>
  </si>
  <si>
    <t>Rule 2</t>
  </si>
  <si>
    <t>Rule 3</t>
  </si>
  <si>
    <t>Rule 4</t>
  </si>
  <si>
    <t>Rule 5</t>
  </si>
  <si>
    <t>GRADUATE EDUCATION MARKET ANALYTICS</t>
  </si>
  <si>
    <t>Project</t>
  </si>
  <si>
    <t>Graduate Education Market Analytics</t>
  </si>
  <si>
    <t>Version</t>
  </si>
  <si>
    <t>v1.0</t>
  </si>
  <si>
    <t>Created By</t>
  </si>
  <si>
    <t>Huong Nguyen</t>
  </si>
  <si>
    <t>Start Date</t>
  </si>
  <si>
    <t>29/06/2026</t>
  </si>
  <si>
    <t>Last Updated</t>
  </si>
  <si>
    <t>Current Sprint</t>
  </si>
  <si>
    <t>Sprint 1</t>
  </si>
  <si>
    <t>A</t>
  </si>
  <si>
    <t>B</t>
  </si>
  <si>
    <t>30/06/2026</t>
  </si>
  <si>
    <t>This dataset contains information about master's degree programs offered by selected universities in China and South Korea. It is designed to support analytics projects related to graduate education, including tuition analysis, scholarship comparison, program categorization, and dashboard development.</t>
  </si>
  <si>
    <t>Use official English names for universities, cities and programs.</t>
  </si>
  <si>
    <t>Use standardized values defined in the Data Dictionary.</t>
  </si>
  <si>
    <t>Missing values should remain blank and be documented in the Data Quality Log.</t>
  </si>
  <si>
    <t>Source</t>
  </si>
  <si>
    <t>Purpose</t>
  </si>
  <si>
    <t>Official University Website</t>
  </si>
  <si>
    <t>Program information</t>
  </si>
  <si>
    <t>QS World University Rankings</t>
  </si>
  <si>
    <t>Scholarship Website</t>
  </si>
  <si>
    <t>Scholarship information</t>
  </si>
  <si>
    <t>📌 Project Information</t>
  </si>
  <si>
    <t>📋 Data Collection Rules</t>
  </si>
  <si>
    <t>🌐 Data Sources</t>
  </si>
  <si>
    <t>📝 Version History</t>
  </si>
  <si>
    <t>📌 Notes</t>
  </si>
  <si>
    <t>Ví dụ:</t>
  </si>
  <si>
    <t>Raw_Data should never be modified after data cleaning starts.</t>
  </si>
  <si>
    <t>All calculated fields should be created in analysis sheets.</t>
  </si>
  <si>
    <t>Always verify tuition information from official sources.</t>
  </si>
  <si>
    <t>Data Source</t>
  </si>
  <si>
    <t>MBA (BA tracks)</t>
  </si>
  <si>
    <t>Management Science &amp; Engineering</t>
  </si>
  <si>
    <t>KAIST International Student Scholarship</t>
  </si>
  <si>
    <t>Campus study</t>
  </si>
  <si>
    <t>Daejeon</t>
  </si>
  <si>
    <t>Official KAIST Graduate School Website</t>
  </si>
  <si>
    <t>Korea Advanced Institute of Science and Technology (KAIST)</t>
  </si>
  <si>
    <t>Seoul Campus</t>
  </si>
  <si>
    <t>Industrial Engineering / Operations Research</t>
  </si>
  <si>
    <t>English / Korean</t>
  </si>
  <si>
    <t>Full / Partial Tuition</t>
  </si>
  <si>
    <t>MBA (IS track)</t>
  </si>
  <si>
    <t>Digital Analytics</t>
  </si>
  <si>
    <t xml:space="preserve">Kyunghee University </t>
  </si>
  <si>
    <t>Media and Communication</t>
  </si>
  <si>
    <t xml:space="preserve">Korea International Studen Scholarship, GKS, Pony Chung, KOICA </t>
  </si>
  <si>
    <t>Industrial Management Engineering</t>
  </si>
  <si>
    <t>Global MBA</t>
  </si>
  <si>
    <t>University Scholarship, GKS</t>
  </si>
  <si>
    <t>Yonsei Global Companion Scholarship, GKS, TA/RA</t>
  </si>
  <si>
    <t xml:space="preserve">Scholarship awarded based on admission results. </t>
  </si>
  <si>
    <t xml:space="preserve">Scholarship awarded based on admission results and need tp re-apply each semester. </t>
  </si>
  <si>
    <t xml:space="preserve">Hanyang International Scholarship Program (HISP), Assistantships, Language Proficiency </t>
  </si>
  <si>
    <t xml:space="preserve">Media and Social Informatics </t>
  </si>
  <si>
    <t>Erica Campus</t>
  </si>
  <si>
    <t>Ehwa University Scholarship, Ewha Research Excellence, Outstanding Ewha Science Student</t>
  </si>
  <si>
    <t>Big Data MBA (BA track)</t>
  </si>
  <si>
    <t>MS in Information Systems, Big Data Analytics</t>
  </si>
  <si>
    <t>MS in Information Systems (Kyobo AI and Big Data)</t>
  </si>
  <si>
    <t>Big Data Analytics</t>
  </si>
  <si>
    <t xml:space="preserve">Chinese Government Scholarship (CGS), Zhejiang University Scholarship, Zhejiang Government Scholarship </t>
  </si>
  <si>
    <t>Communication</t>
  </si>
  <si>
    <t xml:space="preserve">Chinese </t>
  </si>
  <si>
    <t>Information and Communication Engineering</t>
  </si>
  <si>
    <t>Antai College</t>
  </si>
  <si>
    <t xml:space="preserve">Chinese Government Scholarship (CGS), Antai College Specific Scholarships, Shanghai Government Scholarship </t>
  </si>
  <si>
    <t xml:space="preserve">Full / Partial Tuition
</t>
  </si>
  <si>
    <t>Data Science and Business Analytics (DS&amp;BA)</t>
  </si>
  <si>
    <t>Xing Quan Belt and Road Scholarship,  Chinese Government Scholarship</t>
  </si>
  <si>
    <t>Management Information Systems</t>
  </si>
  <si>
    <t>New Media Studies</t>
  </si>
  <si>
    <t>Digital Business</t>
  </si>
  <si>
    <t>Journalism &amp; Communication</t>
  </si>
  <si>
    <t xml:space="preserve">President's Scholarship, Merit Maintanance </t>
  </si>
  <si>
    <t>English / Chinese</t>
  </si>
  <si>
    <t>Full / Partial Tuition + Living Stipend</t>
  </si>
  <si>
    <t>Scholarship awarded based on admission results. Requires verification as admission page said different</t>
  </si>
  <si>
    <t>Disipline</t>
  </si>
  <si>
    <t>Media Studies</t>
  </si>
  <si>
    <t>MBA</t>
  </si>
  <si>
    <t>Industrial Engineering</t>
  </si>
  <si>
    <t>Operations Research</t>
  </si>
  <si>
    <t>Management</t>
  </si>
  <si>
    <t>Business</t>
  </si>
  <si>
    <t>Data Science</t>
  </si>
  <si>
    <t>Artificial Intelligence</t>
  </si>
  <si>
    <t>Korean</t>
  </si>
  <si>
    <t>Chinese</t>
  </si>
  <si>
    <t>Korean / English</t>
  </si>
  <si>
    <t>Chinese / English</t>
  </si>
  <si>
    <t>Full Tuition</t>
  </si>
  <si>
    <t>Partial Tuition</t>
  </si>
  <si>
    <t>Full Tuition + Living Stipend</t>
  </si>
  <si>
    <t>Living Stipend Only</t>
  </si>
  <si>
    <t xml:space="preserve">Internship available </t>
  </si>
  <si>
    <t>No</t>
  </si>
  <si>
    <t>Degree level</t>
  </si>
  <si>
    <t>Master</t>
  </si>
  <si>
    <t>Professional Master</t>
  </si>
  <si>
    <t>Integrated Master-PhD</t>
  </si>
  <si>
    <t>PhD</t>
  </si>
  <si>
    <t>Status</t>
  </si>
  <si>
    <t>Duplicate check</t>
  </si>
  <si>
    <t>Metric</t>
  </si>
  <si>
    <t>Formula</t>
  </si>
  <si>
    <t>Result</t>
  </si>
  <si>
    <t>Total Programs</t>
  </si>
  <si>
    <t>Missing Tuition</t>
  </si>
  <si>
    <t>Missing Language</t>
  </si>
  <si>
    <t>Duplicate Programs</t>
  </si>
  <si>
    <t>Programs in South Korea</t>
  </si>
  <si>
    <t>Programs in China</t>
  </si>
  <si>
    <t>Missing Scholarship Name</t>
  </si>
  <si>
    <t>Missing Internship</t>
  </si>
  <si>
    <t>Missing QS Ranking</t>
  </si>
  <si>
    <t>Average Tuition (USD)</t>
  </si>
  <si>
    <t>Highest Tuition (USD)</t>
  </si>
  <si>
    <t>Lowest Tuition (USD)</t>
  </si>
  <si>
    <t>Intership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</si>
</sst>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charset val="163"/>
      <scheme val="minor"/>
    </font>
    <font>
      <b/>
      <sz val="11"/>
      <color theme="1"/>
      <name val="Calibri"/>
      <family val="2"/>
      <scheme val="minor"/>
    </font>
    <font>
      <b/>
      <sz val="11"/>
      <color theme="1"/>
      <name val="Calibri"/>
      <family val="2"/>
      <charset val="163"/>
      <scheme val="minor"/>
    </font>
    <font>
      <b/>
      <sz val="13.5"/>
      <color theme="1"/>
      <name val="Calibri"/>
      <family val="2"/>
      <charset val="163"/>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theme="4" tint="0.39997558519241921"/>
      </top>
      <bottom style="thin">
        <color theme="4" tint="0.39997558519241921"/>
      </bottom>
      <diagonal/>
    </border>
  </borders>
  <cellStyleXfs count="1">
    <xf numFmtId="0" fontId="0" fillId="0" borderId="0"/>
  </cellStyleXfs>
  <cellXfs count="27">
    <xf numFmtId="0" fontId="0" fillId="0" borderId="0" xfId="0"/>
    <xf numFmtId="0" fontId="2" fillId="0" borderId="1" xfId="0" applyFont="1" applyBorder="1" applyAlignment="1">
      <alignment horizontal="center" vertical="center" wrapText="1"/>
    </xf>
    <xf numFmtId="0" fontId="0" fillId="0" borderId="1" xfId="0" applyBorder="1" applyAlignment="1">
      <alignment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0" xfId="0" applyAlignment="1">
      <alignment horizontal="right" vertical="center"/>
    </xf>
    <xf numFmtId="0" fontId="0" fillId="0" borderId="0" xfId="0" applyAlignment="1">
      <alignment horizontal="left" vertical="center"/>
    </xf>
    <xf numFmtId="0" fontId="1" fillId="0" borderId="0" xfId="0" applyFont="1" applyAlignment="1">
      <alignment horizontal="center" vertical="center"/>
    </xf>
    <xf numFmtId="0" fontId="2" fillId="0" borderId="1" xfId="0" applyFont="1" applyBorder="1" applyAlignment="1">
      <alignment vertical="center" wrapText="1"/>
    </xf>
    <xf numFmtId="0" fontId="2" fillId="0" borderId="0" xfId="0" applyFont="1" applyBorder="1" applyAlignment="1">
      <alignment horizontal="center" vertical="center" wrapText="1"/>
    </xf>
    <xf numFmtId="0" fontId="0" fillId="0" borderId="0" xfId="0" applyBorder="1" applyAlignment="1">
      <alignment vertical="center" wrapText="1"/>
    </xf>
    <xf numFmtId="0" fontId="0" fillId="0" borderId="0" xfId="0" applyAlignment="1">
      <alignment horizontal="left" vertical="center" indent="1"/>
    </xf>
    <xf numFmtId="0" fontId="0" fillId="0" borderId="0" xfId="0" applyAlignment="1">
      <alignment vertical="center" wrapText="1"/>
    </xf>
    <xf numFmtId="0" fontId="0" fillId="0" borderId="0" xfId="0" applyFill="1" applyAlignment="1">
      <alignment vertical="center" wrapText="1"/>
    </xf>
    <xf numFmtId="0" fontId="0" fillId="0" borderId="3" xfId="0" applyFont="1" applyBorder="1"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3" fillId="0" borderId="0" xfId="0" applyFont="1" applyAlignment="1">
      <alignment horizontal="left" vertical="center"/>
    </xf>
    <xf numFmtId="0" fontId="2" fillId="0" borderId="0" xfId="0" applyFont="1"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horizontal="left"/>
    </xf>
    <xf numFmtId="0" fontId="2" fillId="0" borderId="0" xfId="0" applyFont="1" applyAlignment="1">
      <alignment horizontal="center"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2" fontId="0" fillId="0" borderId="0" xfId="0" applyNumberFormat="1" applyAlignment="1">
      <alignment vertical="center" wrapText="1"/>
    </xf>
  </cellXfs>
  <cellStyles count="1">
    <cellStyle name="Normal" xfId="0" builtinId="0"/>
  </cellStyles>
  <dxfs count="18">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id="1" name="tblGraduatePrograms" displayName="tblGraduatePrograms" ref="A1:Q25" totalsRowShown="0" dataDxfId="17" headerRowCellStyle="Normal" dataCellStyle="Normal">
  <autoFilter ref="A1:Q25"/>
  <tableColumns count="17">
    <tableColumn id="1" name="University" dataDxfId="16" dataCellStyle="Normal"/>
    <tableColumn id="2" name="Country" dataDxfId="15" dataCellStyle="Normal"/>
    <tableColumn id="3" name="City" dataDxfId="14" dataCellStyle="Normal"/>
    <tableColumn id="16" name="Campus study" dataDxfId="13"/>
    <tableColumn id="4" name="Program" dataDxfId="12" dataCellStyle="Normal"/>
    <tableColumn id="5" name="Program Category" dataDxfId="11" dataCellStyle="Normal"/>
    <tableColumn id="6" name="Discipline" dataDxfId="10" dataCellStyle="Normal"/>
    <tableColumn id="7" name="Language" dataDxfId="9" dataCellStyle="Normal"/>
    <tableColumn id="8" name="Duration (Years)" dataDxfId="8" dataCellStyle="Normal"/>
    <tableColumn id="9" name="QS Ranking " dataDxfId="7" dataCellStyle="Normal"/>
    <tableColumn id="10" name="Tuition USD" dataDxfId="6" dataCellStyle="Normal"/>
    <tableColumn id="11" name="Scholarship Name" dataDxfId="5" dataCellStyle="Normal"/>
    <tableColumn id="12" name="Scholarship Coverage" dataDxfId="4" dataCellStyle="Normal"/>
    <tableColumn id="13" name="Intership Available" dataDxfId="3" dataCellStyle="Normal"/>
    <tableColumn id="15" name="Notes" dataDxfId="2"/>
    <tableColumn id="17" name="Data Source" dataDxfId="1"/>
    <tableColumn id="14" name="Duplicate check" dataDxfId="0" dataCellStyle="Normal">
      <calculatedColumnFormula>IF(COUNTIFS(tblGraduatePrograms[University],tblGraduatePrograms[[#This Row],[University]],tblGraduatePrograms[Program],tblGraduatePrograms[[#This Row],[Program]])&gt;1,"Duplicate","Unique")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topLeftCell="B1" zoomScale="70" zoomScaleNormal="70" workbookViewId="0">
      <pane ySplit="1" topLeftCell="A2" activePane="bottomLeft" state="frozen"/>
      <selection pane="bottomLeft" activeCell="N1" sqref="N1"/>
    </sheetView>
  </sheetViews>
  <sheetFormatPr defaultRowHeight="15" x14ac:dyDescent="0.25"/>
  <cols>
    <col min="1" max="1" width="26.85546875" style="6" customWidth="1"/>
    <col min="2" max="2" width="18.42578125" style="6" customWidth="1"/>
    <col min="3" max="4" width="16.5703125" style="6" customWidth="1"/>
    <col min="5" max="5" width="22.42578125" style="6" customWidth="1"/>
    <col min="6" max="6" width="24" style="6" customWidth="1"/>
    <col min="7" max="7" width="22.7109375" style="6" customWidth="1"/>
    <col min="8" max="8" width="18.140625" style="6" customWidth="1"/>
    <col min="9" max="9" width="17.28515625" style="5" customWidth="1"/>
    <col min="10" max="10" width="15.7109375" style="6" customWidth="1"/>
    <col min="11" max="11" width="15.140625" style="6" customWidth="1"/>
    <col min="12" max="12" width="18.5703125" style="6" customWidth="1"/>
    <col min="13" max="13" width="21.42578125" style="6" customWidth="1"/>
    <col min="14" max="16" width="19.7109375" style="6" customWidth="1"/>
    <col min="17" max="17" width="18.85546875" style="6" customWidth="1"/>
    <col min="18" max="16384" width="9.140625" style="6"/>
  </cols>
  <sheetData>
    <row r="1" spans="1:17" s="7" customFormat="1" x14ac:dyDescent="0.25">
      <c r="A1" t="s">
        <v>0</v>
      </c>
      <c r="B1" t="s">
        <v>1</v>
      </c>
      <c r="C1" t="s">
        <v>2</v>
      </c>
      <c r="D1" t="s">
        <v>147</v>
      </c>
      <c r="E1" t="s">
        <v>3</v>
      </c>
      <c r="F1" t="s">
        <v>25</v>
      </c>
      <c r="G1" t="s">
        <v>4</v>
      </c>
      <c r="H1" t="s">
        <v>5</v>
      </c>
      <c r="I1" t="s">
        <v>38</v>
      </c>
      <c r="J1" t="s">
        <v>6</v>
      </c>
      <c r="K1" t="s">
        <v>7</v>
      </c>
      <c r="L1" t="s">
        <v>98</v>
      </c>
      <c r="M1" t="s">
        <v>8</v>
      </c>
      <c r="N1" t="s">
        <v>232</v>
      </c>
      <c r="O1" t="s">
        <v>9</v>
      </c>
      <c r="P1" t="s">
        <v>143</v>
      </c>
      <c r="Q1" t="s">
        <v>216</v>
      </c>
    </row>
    <row r="2" spans="1:17" ht="114" customHeight="1" x14ac:dyDescent="0.25">
      <c r="A2" s="12" t="s">
        <v>150</v>
      </c>
      <c r="B2" s="12" t="s">
        <v>14</v>
      </c>
      <c r="C2" s="12" t="s">
        <v>148</v>
      </c>
      <c r="D2" s="12" t="s">
        <v>151</v>
      </c>
      <c r="E2" s="12" t="s">
        <v>16</v>
      </c>
      <c r="F2" s="12" t="s">
        <v>145</v>
      </c>
      <c r="G2" s="12" t="s">
        <v>152</v>
      </c>
      <c r="H2" s="12" t="s">
        <v>153</v>
      </c>
      <c r="I2" s="12">
        <v>2</v>
      </c>
      <c r="J2" s="12"/>
      <c r="K2" s="12">
        <v>8993.85</v>
      </c>
      <c r="L2" s="12" t="s">
        <v>146</v>
      </c>
      <c r="M2" s="12" t="s">
        <v>154</v>
      </c>
      <c r="N2" s="12"/>
      <c r="O2" s="12" t="s">
        <v>190</v>
      </c>
      <c r="P2" s="12" t="s">
        <v>149</v>
      </c>
      <c r="Q2" s="12" t="str">
        <f>IF(COUNTIFS(tblGraduatePrograms[University],tblGraduatePrograms[[#This Row],[University]],tblGraduatePrograms[Program],tblGraduatePrograms[[#This Row],[Program]])&gt;1,"Duplicate","Unique")</f>
        <v>Unique</v>
      </c>
    </row>
    <row r="3" spans="1:17" ht="101.25" customHeight="1" x14ac:dyDescent="0.25">
      <c r="A3" s="12" t="s">
        <v>150</v>
      </c>
      <c r="B3" s="12" t="s">
        <v>14</v>
      </c>
      <c r="C3" s="12" t="s">
        <v>148</v>
      </c>
      <c r="D3" s="12" t="s">
        <v>151</v>
      </c>
      <c r="E3" s="12" t="s">
        <v>144</v>
      </c>
      <c r="F3" s="12" t="s">
        <v>17</v>
      </c>
      <c r="G3" s="12" t="s">
        <v>36</v>
      </c>
      <c r="H3" s="12" t="s">
        <v>153</v>
      </c>
      <c r="I3" s="12">
        <v>2</v>
      </c>
      <c r="J3" s="12"/>
      <c r="K3" s="12">
        <v>30000</v>
      </c>
      <c r="L3" s="12" t="s">
        <v>146</v>
      </c>
      <c r="M3" s="12" t="s">
        <v>154</v>
      </c>
      <c r="N3" s="12" t="s">
        <v>79</v>
      </c>
      <c r="O3" s="12" t="s">
        <v>190</v>
      </c>
      <c r="P3" s="12" t="s">
        <v>149</v>
      </c>
      <c r="Q3" s="12" t="str">
        <f>IF(COUNTIFS(tblGraduatePrograms[University],tblGraduatePrograms[[#This Row],[University]],tblGraduatePrograms[Program],tblGraduatePrograms[[#This Row],[Program]])&gt;1,"Duplicate","Unique")</f>
        <v>Unique</v>
      </c>
    </row>
    <row r="4" spans="1:17" ht="90" customHeight="1" x14ac:dyDescent="0.25">
      <c r="A4" s="12" t="s">
        <v>10</v>
      </c>
      <c r="B4" s="12" t="s">
        <v>14</v>
      </c>
      <c r="C4" s="12" t="s">
        <v>15</v>
      </c>
      <c r="D4" s="12" t="s">
        <v>151</v>
      </c>
      <c r="E4" s="12" t="s">
        <v>155</v>
      </c>
      <c r="F4" s="12" t="s">
        <v>183</v>
      </c>
      <c r="G4" s="12" t="s">
        <v>34</v>
      </c>
      <c r="H4" s="12" t="s">
        <v>19</v>
      </c>
      <c r="I4" s="12">
        <v>2</v>
      </c>
      <c r="J4" s="12"/>
      <c r="K4" s="12">
        <v>30000</v>
      </c>
      <c r="L4" s="13" t="s">
        <v>159</v>
      </c>
      <c r="M4" s="12" t="s">
        <v>154</v>
      </c>
      <c r="N4" s="13"/>
      <c r="O4" s="12" t="s">
        <v>190</v>
      </c>
      <c r="P4" s="12"/>
      <c r="Q4" s="12" t="str">
        <f>IF(COUNTIFS(tblGraduatePrograms[University],tblGraduatePrograms[[#This Row],[University]],tblGraduatePrograms[Program],tblGraduatePrograms[[#This Row],[Program]])&gt;1,"Duplicate","Unique")</f>
        <v>Unique</v>
      </c>
    </row>
    <row r="5" spans="1:17" ht="101.25" customHeight="1" x14ac:dyDescent="0.25">
      <c r="A5" s="13" t="s">
        <v>10</v>
      </c>
      <c r="B5" s="13" t="s">
        <v>14</v>
      </c>
      <c r="C5" s="13" t="s">
        <v>15</v>
      </c>
      <c r="D5" s="12" t="s">
        <v>151</v>
      </c>
      <c r="E5" s="13" t="s">
        <v>160</v>
      </c>
      <c r="F5" s="12" t="s">
        <v>145</v>
      </c>
      <c r="G5" s="12" t="s">
        <v>152</v>
      </c>
      <c r="H5" s="12" t="s">
        <v>153</v>
      </c>
      <c r="I5" s="13">
        <v>2</v>
      </c>
      <c r="J5" s="13"/>
      <c r="K5" s="13">
        <v>16700</v>
      </c>
      <c r="L5" s="13" t="s">
        <v>159</v>
      </c>
      <c r="M5" s="12" t="s">
        <v>154</v>
      </c>
      <c r="N5" s="13"/>
      <c r="O5" s="12" t="s">
        <v>190</v>
      </c>
      <c r="P5" s="13"/>
      <c r="Q5" s="12" t="str">
        <f>IF(COUNTIFS(tblGraduatePrograms[University],tblGraduatePrograms[[#This Row],[University]],tblGraduatePrograms[Program],tblGraduatePrograms[[#This Row],[Program]])&gt;1,"Duplicate","Unique")</f>
        <v>Unique</v>
      </c>
    </row>
    <row r="6" spans="1:17" ht="100.5" customHeight="1" x14ac:dyDescent="0.25">
      <c r="A6" s="12" t="s">
        <v>10</v>
      </c>
      <c r="B6" s="13" t="s">
        <v>14</v>
      </c>
      <c r="C6" s="13" t="s">
        <v>15</v>
      </c>
      <c r="D6" s="12" t="s">
        <v>151</v>
      </c>
      <c r="E6" s="12" t="s">
        <v>158</v>
      </c>
      <c r="F6" s="12" t="s">
        <v>184</v>
      </c>
      <c r="G6" s="12" t="s">
        <v>37</v>
      </c>
      <c r="H6" s="12" t="s">
        <v>153</v>
      </c>
      <c r="I6" s="12">
        <v>2</v>
      </c>
      <c r="J6" s="12"/>
      <c r="K6" s="13">
        <v>17000</v>
      </c>
      <c r="L6" s="13" t="s">
        <v>159</v>
      </c>
      <c r="M6" s="12" t="s">
        <v>154</v>
      </c>
      <c r="N6" s="13"/>
      <c r="O6" s="12" t="s">
        <v>190</v>
      </c>
      <c r="P6" s="12"/>
      <c r="Q6" s="12" t="str">
        <f>IF(COUNTIFS(tblGraduatePrograms[University],tblGraduatePrograms[[#This Row],[University]],tblGraduatePrograms[Program],tblGraduatePrograms[[#This Row],[Program]])&gt;1,"Duplicate","Unique")</f>
        <v>Unique</v>
      </c>
    </row>
    <row r="7" spans="1:17" ht="100.5" customHeight="1" x14ac:dyDescent="0.25">
      <c r="A7" s="13" t="s">
        <v>11</v>
      </c>
      <c r="B7" s="13" t="s">
        <v>14</v>
      </c>
      <c r="C7" s="13" t="s">
        <v>15</v>
      </c>
      <c r="D7" s="12" t="s">
        <v>151</v>
      </c>
      <c r="E7" s="13" t="s">
        <v>172</v>
      </c>
      <c r="F7" s="12" t="s">
        <v>183</v>
      </c>
      <c r="G7" s="13"/>
      <c r="H7" s="13"/>
      <c r="I7" s="13">
        <v>2</v>
      </c>
      <c r="J7" s="13"/>
      <c r="K7" s="13">
        <v>29340</v>
      </c>
      <c r="L7" s="13" t="s">
        <v>163</v>
      </c>
      <c r="M7" s="12" t="s">
        <v>154</v>
      </c>
      <c r="N7" s="13" t="s">
        <v>79</v>
      </c>
      <c r="O7" s="12" t="s">
        <v>164</v>
      </c>
      <c r="P7" s="13"/>
      <c r="Q7" s="12" t="str">
        <f>IF(COUNTIFS(tblGraduatePrograms[University],tblGraduatePrograms[[#This Row],[University]],tblGraduatePrograms[Program],tblGraduatePrograms[[#This Row],[Program]])&gt;1,"Duplicate","Unique")</f>
        <v>Unique</v>
      </c>
    </row>
    <row r="8" spans="1:17" ht="100.5" customHeight="1" x14ac:dyDescent="0.25">
      <c r="A8" s="13" t="s">
        <v>11</v>
      </c>
      <c r="B8" s="13" t="s">
        <v>14</v>
      </c>
      <c r="C8" s="13" t="s">
        <v>15</v>
      </c>
      <c r="D8" s="12" t="s">
        <v>151</v>
      </c>
      <c r="E8" s="13" t="s">
        <v>171</v>
      </c>
      <c r="F8" s="12" t="s">
        <v>183</v>
      </c>
      <c r="G8" s="13"/>
      <c r="H8" s="13"/>
      <c r="I8" s="13">
        <v>2</v>
      </c>
      <c r="J8" s="13"/>
      <c r="K8" s="13">
        <v>29340</v>
      </c>
      <c r="L8" s="13" t="s">
        <v>163</v>
      </c>
      <c r="M8" s="12" t="s">
        <v>154</v>
      </c>
      <c r="N8" s="13" t="s">
        <v>79</v>
      </c>
      <c r="O8" s="12" t="s">
        <v>164</v>
      </c>
      <c r="P8" s="13"/>
      <c r="Q8" s="12" t="str">
        <f>IF(COUNTIFS(tblGraduatePrograms[University],tblGraduatePrograms[[#This Row],[University]],tblGraduatePrograms[Program],tblGraduatePrograms[[#This Row],[Program]])&gt;1,"Duplicate","Unique")</f>
        <v>Unique</v>
      </c>
    </row>
    <row r="9" spans="1:17" ht="104.25" customHeight="1" x14ac:dyDescent="0.25">
      <c r="A9" s="13" t="s">
        <v>11</v>
      </c>
      <c r="B9" s="13" t="s">
        <v>14</v>
      </c>
      <c r="C9" s="13" t="s">
        <v>15</v>
      </c>
      <c r="D9" s="12" t="s">
        <v>151</v>
      </c>
      <c r="E9" s="13" t="s">
        <v>156</v>
      </c>
      <c r="F9" s="13" t="s">
        <v>17</v>
      </c>
      <c r="G9" s="13" t="s">
        <v>36</v>
      </c>
      <c r="H9" s="13"/>
      <c r="I9" s="13">
        <v>2</v>
      </c>
      <c r="J9" s="13"/>
      <c r="K9" s="13">
        <v>10280</v>
      </c>
      <c r="L9" s="13" t="s">
        <v>163</v>
      </c>
      <c r="M9" s="12" t="s">
        <v>154</v>
      </c>
      <c r="N9" s="13"/>
      <c r="O9" s="12" t="s">
        <v>164</v>
      </c>
      <c r="P9" s="13"/>
      <c r="Q9" s="12" t="str">
        <f>IF(COUNTIFS(tblGraduatePrograms[University],tblGraduatePrograms[[#This Row],[University]],tblGraduatePrograms[Program],tblGraduatePrograms[[#This Row],[Program]])&gt;1,"Duplicate","Unique")</f>
        <v>Unique</v>
      </c>
    </row>
    <row r="10" spans="1:17" ht="105.75" customHeight="1" x14ac:dyDescent="0.25">
      <c r="A10" s="12" t="s">
        <v>11</v>
      </c>
      <c r="B10" s="12" t="s">
        <v>14</v>
      </c>
      <c r="C10" s="12" t="s">
        <v>15</v>
      </c>
      <c r="D10" s="12" t="s">
        <v>151</v>
      </c>
      <c r="E10" s="12" t="s">
        <v>161</v>
      </c>
      <c r="F10" s="12" t="s">
        <v>185</v>
      </c>
      <c r="G10" s="12" t="s">
        <v>35</v>
      </c>
      <c r="H10" s="12" t="s">
        <v>153</v>
      </c>
      <c r="I10" s="12">
        <v>2</v>
      </c>
      <c r="J10" s="12"/>
      <c r="K10" s="12">
        <v>35000</v>
      </c>
      <c r="L10" s="12" t="s">
        <v>162</v>
      </c>
      <c r="M10" s="12" t="s">
        <v>154</v>
      </c>
      <c r="N10" s="12" t="s">
        <v>79</v>
      </c>
      <c r="O10" s="12" t="s">
        <v>165</v>
      </c>
      <c r="P10" s="12"/>
      <c r="Q10" s="12" t="str">
        <f>IF(COUNTIFS(tblGraduatePrograms[University],tblGraduatePrograms[[#This Row],[University]],tblGraduatePrograms[Program],tblGraduatePrograms[[#This Row],[Program]])&gt;1,"Duplicate","Unique")</f>
        <v>Unique</v>
      </c>
    </row>
    <row r="11" spans="1:17" ht="90" x14ac:dyDescent="0.25">
      <c r="A11" s="13" t="s">
        <v>11</v>
      </c>
      <c r="B11" s="12" t="s">
        <v>14</v>
      </c>
      <c r="C11" s="12" t="s">
        <v>15</v>
      </c>
      <c r="D11" s="12" t="s">
        <v>151</v>
      </c>
      <c r="E11" s="12" t="s">
        <v>158</v>
      </c>
      <c r="F11" s="12" t="s">
        <v>184</v>
      </c>
      <c r="G11" s="12" t="s">
        <v>37</v>
      </c>
      <c r="H11" s="12" t="s">
        <v>153</v>
      </c>
      <c r="I11" s="13"/>
      <c r="J11" s="13"/>
      <c r="K11" s="13">
        <v>20000</v>
      </c>
      <c r="L11" s="12" t="s">
        <v>162</v>
      </c>
      <c r="M11" s="12" t="s">
        <v>154</v>
      </c>
      <c r="N11" s="13"/>
      <c r="O11" s="12" t="s">
        <v>165</v>
      </c>
      <c r="P11" s="13"/>
      <c r="Q11" s="12" t="str">
        <f>IF(COUNTIFS(tblGraduatePrograms[University],tblGraduatePrograms[[#This Row],[University]],tblGraduatePrograms[Program],tblGraduatePrograms[[#This Row],[Program]])&gt;1,"Duplicate","Unique")</f>
        <v>Unique</v>
      </c>
    </row>
    <row r="12" spans="1:17" ht="105" x14ac:dyDescent="0.25">
      <c r="A12" s="13" t="s">
        <v>12</v>
      </c>
      <c r="B12" s="12" t="s">
        <v>14</v>
      </c>
      <c r="C12" s="12" t="s">
        <v>15</v>
      </c>
      <c r="D12" s="12" t="s">
        <v>151</v>
      </c>
      <c r="E12" s="12" t="s">
        <v>18</v>
      </c>
      <c r="F12" s="12" t="s">
        <v>17</v>
      </c>
      <c r="G12" s="12" t="s">
        <v>36</v>
      </c>
      <c r="H12" s="12" t="s">
        <v>153</v>
      </c>
      <c r="I12" s="12">
        <v>2</v>
      </c>
      <c r="J12" s="13"/>
      <c r="K12" s="13">
        <v>20000</v>
      </c>
      <c r="L12" s="13" t="s">
        <v>166</v>
      </c>
      <c r="M12" s="12" t="s">
        <v>154</v>
      </c>
      <c r="N12" s="13"/>
      <c r="O12" s="12"/>
      <c r="P12" s="13"/>
      <c r="Q12" s="12" t="str">
        <f>IF(COUNTIFS(tblGraduatePrograms[University],tblGraduatePrograms[[#This Row],[University]],tblGraduatePrograms[Program],tblGraduatePrograms[[#This Row],[Program]])&gt;1,"Duplicate","Unique")</f>
        <v>Unique</v>
      </c>
    </row>
    <row r="13" spans="1:17" ht="105" x14ac:dyDescent="0.25">
      <c r="A13" s="12" t="s">
        <v>12</v>
      </c>
      <c r="B13" s="12" t="s">
        <v>14</v>
      </c>
      <c r="C13" s="12" t="s">
        <v>15</v>
      </c>
      <c r="D13" s="12" t="s">
        <v>168</v>
      </c>
      <c r="E13" s="12" t="s">
        <v>167</v>
      </c>
      <c r="F13" s="12" t="s">
        <v>184</v>
      </c>
      <c r="G13" s="12" t="s">
        <v>37</v>
      </c>
      <c r="H13" s="12" t="s">
        <v>153</v>
      </c>
      <c r="I13" s="12">
        <v>2</v>
      </c>
      <c r="J13" s="12"/>
      <c r="K13" s="12">
        <v>28000</v>
      </c>
      <c r="L13" s="13" t="s">
        <v>166</v>
      </c>
      <c r="M13" s="12" t="s">
        <v>154</v>
      </c>
      <c r="N13" s="13"/>
      <c r="O13" s="12"/>
      <c r="P13" s="12"/>
      <c r="Q13" s="12" t="str">
        <f>IF(COUNTIFS(tblGraduatePrograms[University],tblGraduatePrograms[[#This Row],[University]],tblGraduatePrograms[Program],tblGraduatePrograms[[#This Row],[Program]])&gt;1,"Duplicate","Unique")</f>
        <v>Unique</v>
      </c>
    </row>
    <row r="14" spans="1:17" ht="68.25" customHeight="1" x14ac:dyDescent="0.25">
      <c r="A14" s="13" t="s">
        <v>157</v>
      </c>
      <c r="B14" s="12" t="s">
        <v>14</v>
      </c>
      <c r="C14" s="12" t="s">
        <v>15</v>
      </c>
      <c r="D14" s="12" t="s">
        <v>151</v>
      </c>
      <c r="E14" s="13" t="s">
        <v>186</v>
      </c>
      <c r="F14" s="12" t="s">
        <v>184</v>
      </c>
      <c r="G14" s="12" t="s">
        <v>37</v>
      </c>
      <c r="H14" s="12" t="s">
        <v>153</v>
      </c>
      <c r="I14" s="13">
        <v>2</v>
      </c>
      <c r="J14" s="13"/>
      <c r="K14" s="13">
        <v>10200</v>
      </c>
      <c r="L14" s="13" t="s">
        <v>187</v>
      </c>
      <c r="M14" s="12" t="s">
        <v>154</v>
      </c>
      <c r="N14" s="13"/>
      <c r="O14" s="12"/>
      <c r="P14" s="13"/>
      <c r="Q14" s="12" t="str">
        <f>IF(COUNTIFS(tblGraduatePrograms[University],tblGraduatePrograms[[#This Row],[University]],tblGraduatePrograms[Program],tblGraduatePrograms[[#This Row],[Program]])&gt;1,"Duplicate","Unique")</f>
        <v>Unique</v>
      </c>
    </row>
    <row r="15" spans="1:17" ht="118.5" customHeight="1" x14ac:dyDescent="0.25">
      <c r="A15" s="12" t="s">
        <v>13</v>
      </c>
      <c r="B15" s="12" t="s">
        <v>14</v>
      </c>
      <c r="C15" s="12" t="s">
        <v>15</v>
      </c>
      <c r="D15" s="12"/>
      <c r="E15" s="12" t="s">
        <v>158</v>
      </c>
      <c r="F15" s="12" t="s">
        <v>184</v>
      </c>
      <c r="G15" s="12" t="s">
        <v>37</v>
      </c>
      <c r="H15" s="12" t="s">
        <v>153</v>
      </c>
      <c r="I15" s="12">
        <v>2</v>
      </c>
      <c r="J15" s="12"/>
      <c r="K15" s="12">
        <v>10200</v>
      </c>
      <c r="L15" s="12" t="s">
        <v>169</v>
      </c>
      <c r="M15" s="12" t="s">
        <v>154</v>
      </c>
      <c r="N15" s="12"/>
      <c r="O15" s="12" t="s">
        <v>165</v>
      </c>
      <c r="P15" s="12"/>
      <c r="Q15" s="12" t="str">
        <f>IF(COUNTIFS(tblGraduatePrograms[University],tblGraduatePrograms[[#This Row],[University]],tblGraduatePrograms[Program],tblGraduatePrograms[[#This Row],[Program]])&gt;1,"Duplicate","Unique")</f>
        <v>Unique</v>
      </c>
    </row>
    <row r="16" spans="1:17" ht="118.5" customHeight="1" x14ac:dyDescent="0.25">
      <c r="A16" s="12" t="s">
        <v>13</v>
      </c>
      <c r="B16" s="12" t="s">
        <v>14</v>
      </c>
      <c r="C16" s="12" t="s">
        <v>15</v>
      </c>
      <c r="D16" s="12"/>
      <c r="E16" s="13" t="s">
        <v>173</v>
      </c>
      <c r="F16" s="12" t="s">
        <v>17</v>
      </c>
      <c r="G16" s="12" t="s">
        <v>36</v>
      </c>
      <c r="H16" s="12" t="s">
        <v>153</v>
      </c>
      <c r="I16" s="13">
        <v>2</v>
      </c>
      <c r="J16" s="13"/>
      <c r="K16" s="13">
        <v>18630</v>
      </c>
      <c r="L16" s="12" t="s">
        <v>169</v>
      </c>
      <c r="M16" s="12" t="s">
        <v>154</v>
      </c>
      <c r="N16" s="12"/>
      <c r="O16" s="12" t="s">
        <v>165</v>
      </c>
      <c r="P16" s="13"/>
      <c r="Q16" s="12" t="str">
        <f>IF(COUNTIFS(tblGraduatePrograms[University],tblGraduatePrograms[[#This Row],[University]],tblGraduatePrograms[Program],tblGraduatePrograms[[#This Row],[Program]])&gt;1,"Duplicate","Unique")</f>
        <v>Unique</v>
      </c>
    </row>
    <row r="17" spans="1:17" ht="109.5" customHeight="1" x14ac:dyDescent="0.25">
      <c r="A17" s="12" t="s">
        <v>13</v>
      </c>
      <c r="B17" s="12" t="s">
        <v>14</v>
      </c>
      <c r="C17" s="12" t="s">
        <v>15</v>
      </c>
      <c r="D17" s="12"/>
      <c r="E17" s="12" t="s">
        <v>170</v>
      </c>
      <c r="F17" s="12" t="s">
        <v>17</v>
      </c>
      <c r="G17" s="12" t="s">
        <v>36</v>
      </c>
      <c r="H17" s="12" t="s">
        <v>153</v>
      </c>
      <c r="I17" s="12">
        <v>2</v>
      </c>
      <c r="J17" s="12"/>
      <c r="K17" s="12">
        <v>30000</v>
      </c>
      <c r="L17" s="12" t="s">
        <v>169</v>
      </c>
      <c r="M17" s="12" t="s">
        <v>154</v>
      </c>
      <c r="N17" s="12"/>
      <c r="O17" s="12" t="s">
        <v>165</v>
      </c>
      <c r="P17" s="12"/>
      <c r="Q17" s="12" t="str">
        <f>IF(COUNTIFS(tblGraduatePrograms[University],tblGraduatePrograms[[#This Row],[University]],tblGraduatePrograms[Program],tblGraduatePrograms[[#This Row],[Program]])&gt;1,"Duplicate","Unique")</f>
        <v>Unique</v>
      </c>
    </row>
    <row r="18" spans="1:17" ht="135" x14ac:dyDescent="0.25">
      <c r="A18" s="12" t="s">
        <v>20</v>
      </c>
      <c r="B18" s="12" t="s">
        <v>26</v>
      </c>
      <c r="C18" s="12" t="s">
        <v>29</v>
      </c>
      <c r="D18" s="12"/>
      <c r="E18" s="12" t="s">
        <v>27</v>
      </c>
      <c r="F18" s="12" t="s">
        <v>145</v>
      </c>
      <c r="G18" s="12" t="s">
        <v>33</v>
      </c>
      <c r="H18" s="12" t="s">
        <v>19</v>
      </c>
      <c r="I18" s="12">
        <v>2.5</v>
      </c>
      <c r="J18" s="12"/>
      <c r="K18" s="12">
        <v>13540</v>
      </c>
      <c r="L18" s="12" t="s">
        <v>174</v>
      </c>
      <c r="M18" s="12" t="s">
        <v>189</v>
      </c>
      <c r="N18" s="12"/>
      <c r="O18" s="12"/>
      <c r="P18" s="12"/>
      <c r="Q18" s="12" t="str">
        <f>IF(COUNTIFS(tblGraduatePrograms[University],tblGraduatePrograms[[#This Row],[University]],tblGraduatePrograms[Program],tblGraduatePrograms[[#This Row],[Program]])&gt;1,"Duplicate","Unique")</f>
        <v>Unique</v>
      </c>
    </row>
    <row r="19" spans="1:17" ht="135" x14ac:dyDescent="0.25">
      <c r="A19" s="12" t="s">
        <v>20</v>
      </c>
      <c r="B19" s="12" t="s">
        <v>26</v>
      </c>
      <c r="C19" s="12" t="s">
        <v>29</v>
      </c>
      <c r="D19" s="12"/>
      <c r="E19" s="13" t="s">
        <v>175</v>
      </c>
      <c r="F19" s="12" t="s">
        <v>183</v>
      </c>
      <c r="G19" s="12" t="s">
        <v>37</v>
      </c>
      <c r="H19" s="13" t="s">
        <v>176</v>
      </c>
      <c r="I19" s="13">
        <v>3</v>
      </c>
      <c r="J19" s="13"/>
      <c r="K19" s="13">
        <v>10100</v>
      </c>
      <c r="L19" s="12" t="s">
        <v>174</v>
      </c>
      <c r="M19" s="12" t="s">
        <v>189</v>
      </c>
      <c r="N19" s="13"/>
      <c r="O19" s="12"/>
      <c r="P19" s="13"/>
      <c r="Q19" s="12" t="str">
        <f>IF(COUNTIFS(tblGraduatePrograms[University],tblGraduatePrograms[[#This Row],[University]],tblGraduatePrograms[Program],tblGraduatePrograms[[#This Row],[Program]])&gt;1,"Duplicate","Unique")</f>
        <v>Unique</v>
      </c>
    </row>
    <row r="20" spans="1:17" ht="135" x14ac:dyDescent="0.25">
      <c r="A20" s="12" t="s">
        <v>20</v>
      </c>
      <c r="B20" s="12" t="s">
        <v>26</v>
      </c>
      <c r="C20" s="12" t="s">
        <v>29</v>
      </c>
      <c r="D20" s="12"/>
      <c r="E20" s="13" t="s">
        <v>177</v>
      </c>
      <c r="F20" s="12" t="s">
        <v>183</v>
      </c>
      <c r="G20" s="12" t="s">
        <v>34</v>
      </c>
      <c r="H20" s="13" t="s">
        <v>201</v>
      </c>
      <c r="I20" s="13">
        <v>3</v>
      </c>
      <c r="J20" s="13"/>
      <c r="K20" s="13">
        <v>10100</v>
      </c>
      <c r="L20" s="12" t="s">
        <v>174</v>
      </c>
      <c r="M20" s="12" t="s">
        <v>189</v>
      </c>
      <c r="N20" s="13"/>
      <c r="O20" s="12"/>
      <c r="P20" s="13"/>
      <c r="Q20" s="12" t="str">
        <f>IF(COUNTIFS(tblGraduatePrograms[University],tblGraduatePrograms[[#This Row],[University]],tblGraduatePrograms[Program],tblGraduatePrograms[[#This Row],[Program]])&gt;1,"Duplicate","Unique")</f>
        <v>Unique</v>
      </c>
    </row>
    <row r="21" spans="1:17" ht="135" x14ac:dyDescent="0.25">
      <c r="A21" s="12" t="s">
        <v>21</v>
      </c>
      <c r="B21" s="12" t="s">
        <v>26</v>
      </c>
      <c r="C21" s="12" t="s">
        <v>30</v>
      </c>
      <c r="D21" s="12" t="s">
        <v>178</v>
      </c>
      <c r="E21" s="12" t="s">
        <v>27</v>
      </c>
      <c r="F21" s="12" t="s">
        <v>145</v>
      </c>
      <c r="G21" s="12" t="s">
        <v>33</v>
      </c>
      <c r="H21" s="12" t="s">
        <v>188</v>
      </c>
      <c r="I21" s="12">
        <v>2.5</v>
      </c>
      <c r="J21" s="12"/>
      <c r="K21" s="12">
        <v>43750</v>
      </c>
      <c r="L21" s="12" t="s">
        <v>179</v>
      </c>
      <c r="M21" s="12" t="s">
        <v>180</v>
      </c>
      <c r="N21" s="12"/>
      <c r="O21" s="12"/>
      <c r="P21" s="12"/>
      <c r="Q21" s="12" t="str">
        <f>IF(COUNTIFS(tblGraduatePrograms[University],tblGraduatePrograms[[#This Row],[University]],tblGraduatePrograms[Program],tblGraduatePrograms[[#This Row],[Program]])&gt;1,"Duplicate","Unique")</f>
        <v>Unique</v>
      </c>
    </row>
    <row r="22" spans="1:17" ht="75" x14ac:dyDescent="0.25">
      <c r="A22" s="12" t="s">
        <v>22</v>
      </c>
      <c r="B22" s="12" t="s">
        <v>26</v>
      </c>
      <c r="C22" s="12" t="s">
        <v>30</v>
      </c>
      <c r="D22" s="12"/>
      <c r="E22" s="12" t="s">
        <v>181</v>
      </c>
      <c r="F22" s="12" t="s">
        <v>17</v>
      </c>
      <c r="G22" s="12" t="s">
        <v>36</v>
      </c>
      <c r="H22" s="12" t="s">
        <v>188</v>
      </c>
      <c r="I22" s="12">
        <v>2</v>
      </c>
      <c r="J22" s="12"/>
      <c r="K22" s="12">
        <v>39700</v>
      </c>
      <c r="L22" s="12" t="s">
        <v>182</v>
      </c>
      <c r="M22" s="12" t="s">
        <v>180</v>
      </c>
      <c r="N22" s="12"/>
      <c r="O22" s="12"/>
      <c r="P22" s="12"/>
      <c r="Q22" s="12" t="str">
        <f>IF(COUNTIFS(tblGraduatePrograms[University],tblGraduatePrograms[[#This Row],[University]],tblGraduatePrograms[Program],tblGraduatePrograms[[#This Row],[Program]])&gt;1,"Duplicate","Unique")</f>
        <v>Unique</v>
      </c>
    </row>
    <row r="23" spans="1:17" ht="30" x14ac:dyDescent="0.25">
      <c r="A23" s="12" t="s">
        <v>23</v>
      </c>
      <c r="B23" s="12" t="s">
        <v>26</v>
      </c>
      <c r="C23" s="12" t="s">
        <v>31</v>
      </c>
      <c r="D23" s="12"/>
      <c r="E23" s="12" t="s">
        <v>32</v>
      </c>
      <c r="F23" s="12" t="s">
        <v>183</v>
      </c>
      <c r="G23" s="12" t="s">
        <v>34</v>
      </c>
      <c r="H23" s="12" t="s">
        <v>188</v>
      </c>
      <c r="I23" s="12">
        <v>2</v>
      </c>
      <c r="J23" s="12"/>
      <c r="K23" s="12"/>
      <c r="L23" s="12"/>
      <c r="M23" s="12"/>
      <c r="N23" s="12"/>
      <c r="O23" s="12"/>
      <c r="P23" s="12"/>
      <c r="Q23" s="12" t="str">
        <f>IF(COUNTIFS(tblGraduatePrograms[University],tblGraduatePrograms[[#This Row],[University]],tblGraduatePrograms[Program],tblGraduatePrograms[[#This Row],[Program]])&gt;1,"Duplicate","Unique")</f>
        <v>Unique</v>
      </c>
    </row>
    <row r="24" spans="1:17" ht="30" x14ac:dyDescent="0.25">
      <c r="A24" s="12" t="s">
        <v>24</v>
      </c>
      <c r="B24" s="12" t="s">
        <v>26</v>
      </c>
      <c r="C24" s="12" t="s">
        <v>31</v>
      </c>
      <c r="D24" s="12"/>
      <c r="E24" s="12" t="s">
        <v>28</v>
      </c>
      <c r="F24" s="12" t="s">
        <v>184</v>
      </c>
      <c r="G24" s="12" t="s">
        <v>37</v>
      </c>
      <c r="H24" s="12" t="s">
        <v>188</v>
      </c>
      <c r="I24" s="12">
        <v>2</v>
      </c>
      <c r="J24" s="12"/>
      <c r="K24" s="12"/>
      <c r="L24" s="12"/>
      <c r="M24" s="12"/>
      <c r="N24" s="12"/>
      <c r="O24" s="12"/>
      <c r="P24" s="12"/>
      <c r="Q24" s="12" t="str">
        <f>IF(COUNTIFS(tblGraduatePrograms[University],tblGraduatePrograms[[#This Row],[University]],tblGraduatePrograms[Program],tblGraduatePrograms[[#This Row],[Program]])&gt;1,"Duplicate","Unique")</f>
        <v>Unique</v>
      </c>
    </row>
    <row r="25" spans="1:17" ht="135" x14ac:dyDescent="0.25">
      <c r="A25" s="12" t="s">
        <v>21</v>
      </c>
      <c r="B25" s="12" t="s">
        <v>26</v>
      </c>
      <c r="C25" s="12" t="s">
        <v>30</v>
      </c>
      <c r="D25" s="12"/>
      <c r="E25" s="12" t="s">
        <v>28</v>
      </c>
      <c r="F25" s="12" t="s">
        <v>184</v>
      </c>
      <c r="G25" s="12" t="s">
        <v>37</v>
      </c>
      <c r="H25" s="12" t="s">
        <v>19</v>
      </c>
      <c r="I25" s="12">
        <v>2</v>
      </c>
      <c r="J25" s="12"/>
      <c r="K25" s="12">
        <v>10100</v>
      </c>
      <c r="L25" s="12" t="s">
        <v>179</v>
      </c>
      <c r="M25" s="12" t="s">
        <v>180</v>
      </c>
      <c r="N25" s="12"/>
      <c r="O25" s="12"/>
      <c r="P25" s="12"/>
      <c r="Q25" s="12" t="str">
        <f>IF(COUNTIFS(tblGraduatePrograms[University],tblGraduatePrograms[[#This Row],[University]],tblGraduatePrograms[Program],tblGraduatePrograms[[#This Row],[Program]])&gt;1,"Duplicate","Unique")</f>
        <v>Unique</v>
      </c>
    </row>
    <row r="30" spans="1:17" x14ac:dyDescent="0.25">
      <c r="G30" s="14"/>
    </row>
  </sheetData>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14:formula1>
            <xm:f>Lookup!$J$2:$J$3</xm:f>
          </x14:formula1>
          <xm:sqref>B2:B25</xm:sqref>
        </x14:dataValidation>
        <x14:dataValidation type="list" allowBlank="1" showInputMessage="1" showErrorMessage="1">
          <x14:formula1>
            <xm:f>Lookup!$G$2:$G$8</xm:f>
          </x14:formula1>
          <xm:sqref>H1:H25</xm:sqref>
        </x14:dataValidation>
        <x14:dataValidation type="list" allowBlank="1" showInputMessage="1" showErrorMessage="1">
          <x14:formula1>
            <xm:f>Lookup!$A$2:$A$8</xm:f>
          </x14:formula1>
          <xm:sqref>F1:F25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tabSelected="1" workbookViewId="0">
      <selection activeCell="D13" sqref="D13"/>
    </sheetView>
  </sheetViews>
  <sheetFormatPr defaultRowHeight="15" x14ac:dyDescent="0.25"/>
  <cols>
    <col min="1" max="1" width="18.7109375" customWidth="1"/>
    <col min="2" max="3" width="18" customWidth="1"/>
    <col min="4" max="4" width="18.28515625" customWidth="1"/>
  </cols>
  <sheetData>
    <row r="1" spans="1:4" x14ac:dyDescent="0.25">
      <c r="A1" s="23" t="s">
        <v>217</v>
      </c>
      <c r="B1" s="23" t="s">
        <v>218</v>
      </c>
      <c r="C1" s="25" t="s">
        <v>219</v>
      </c>
      <c r="D1" s="23" t="s">
        <v>215</v>
      </c>
    </row>
    <row r="2" spans="1:4" x14ac:dyDescent="0.25">
      <c r="A2" s="12" t="s">
        <v>220</v>
      </c>
      <c r="B2" s="12">
        <f>COUNTA(tblGraduatePrograms[Program])</f>
        <v>24</v>
      </c>
      <c r="C2" s="24"/>
      <c r="D2" s="12" t="str">
        <f>"✅ Updated"</f>
        <v>✅ Updated</v>
      </c>
    </row>
    <row r="3" spans="1:4" ht="28.5" customHeight="1" x14ac:dyDescent="0.25">
      <c r="A3" s="12" t="s">
        <v>223</v>
      </c>
      <c r="B3" s="12">
        <f>COUNTIF(tblGraduatePrograms[Duplicate check],"Duplicate")</f>
        <v>0</v>
      </c>
      <c r="C3" s="24"/>
      <c r="D3" s="12" t="str">
        <f>IF(B3=0,"🟢 Excellent","🔴 Duplicate Found")</f>
        <v>🟢 Excellent</v>
      </c>
    </row>
    <row r="4" spans="1:4" x14ac:dyDescent="0.25">
      <c r="A4" s="12" t="s">
        <v>221</v>
      </c>
      <c r="B4" s="12">
        <f>COUNTBLANK(tblGraduatePrograms[Tuition USD])</f>
        <v>2</v>
      </c>
      <c r="C4" s="24"/>
      <c r="D4" s="12" t="str">
        <f>IF(B4=0,"🟢 Complete","🟡 Need Update")</f>
        <v>🟡 Need Update</v>
      </c>
    </row>
    <row r="5" spans="1:4" ht="30" x14ac:dyDescent="0.25">
      <c r="A5" s="12" t="s">
        <v>226</v>
      </c>
      <c r="B5" s="12">
        <f>COUNTBLANK(tblGraduatePrograms[Scholarship Name])</f>
        <v>2</v>
      </c>
      <c r="C5" s="24"/>
      <c r="D5" s="12" t="str">
        <f>IF(B5=0,"🟢 Complete","🟡 Need Update")</f>
        <v>🟡 Need Update</v>
      </c>
    </row>
    <row r="6" spans="1:4" x14ac:dyDescent="0.25">
      <c r="A6" s="12" t="s">
        <v>222</v>
      </c>
      <c r="B6" s="12">
        <f>COUNTBLANK(tblGraduatePrograms[Language])</f>
        <v>3</v>
      </c>
      <c r="C6" s="24"/>
      <c r="D6" s="12" t="str">
        <f>IF(B6=0,"🟢 Complete","🟡 Need Update")</f>
        <v>🟡 Need Update</v>
      </c>
    </row>
    <row r="7" spans="1:4" x14ac:dyDescent="0.25">
      <c r="A7" s="12" t="s">
        <v>227</v>
      </c>
      <c r="B7" s="12">
        <f>COUNTBLANK(tblGraduatePrograms[Intership Available])</f>
        <v>20</v>
      </c>
      <c r="C7" s="24"/>
      <c r="D7" s="12" t="str">
        <f>IF(B7=0,"🟢 Complete","🟡 Need Verification")</f>
        <v>🟡 Need Verification</v>
      </c>
    </row>
    <row r="8" spans="1:4" x14ac:dyDescent="0.25">
      <c r="A8" s="12" t="s">
        <v>228</v>
      </c>
      <c r="B8" s="12">
        <f>COUNTBLANK(tblGraduatePrograms[[QS Ranking ]])</f>
        <v>24</v>
      </c>
      <c r="C8" s="24"/>
      <c r="D8" s="12" t="str">
        <f>IF(B8=0,"🟢 Complete","🟡 Need Update")</f>
        <v>🟡 Need Update</v>
      </c>
    </row>
    <row r="9" spans="1:4" ht="30" x14ac:dyDescent="0.25">
      <c r="A9" s="12" t="s">
        <v>224</v>
      </c>
      <c r="B9" s="12">
        <f>COUNTIF(tblGraduatePrograms[Country],"South Korea")</f>
        <v>16</v>
      </c>
      <c r="C9" s="24"/>
      <c r="D9" s="12" t="str">
        <f>"✅ OK"</f>
        <v>✅ OK</v>
      </c>
    </row>
    <row r="10" spans="1:4" x14ac:dyDescent="0.25">
      <c r="A10" s="12" t="s">
        <v>225</v>
      </c>
      <c r="B10" s="12">
        <f>COUNTIF(tblGraduatePrograms[Country],"China")</f>
        <v>8</v>
      </c>
      <c r="C10" s="24"/>
      <c r="D10" s="12" t="str">
        <f>"✅ OK"</f>
        <v>✅ OK</v>
      </c>
    </row>
    <row r="11" spans="1:4" ht="30" x14ac:dyDescent="0.25">
      <c r="A11" s="12" t="s">
        <v>229</v>
      </c>
      <c r="B11" s="26">
        <f>AVERAGE(tblGraduatePrograms[Tuition USD])</f>
        <v>21407.902272727271</v>
      </c>
      <c r="C11" s="24"/>
      <c r="D11" s="12" t="str">
        <f>"📊 Calculated"</f>
        <v>📊 Calculated</v>
      </c>
    </row>
    <row r="12" spans="1:4" ht="30" x14ac:dyDescent="0.25">
      <c r="A12" s="12" t="s">
        <v>230</v>
      </c>
      <c r="B12" s="26">
        <f>MAX(tblGraduatePrograms[Tuition USD])</f>
        <v>43750</v>
      </c>
      <c r="C12" s="24"/>
      <c r="D12" s="12" t="str">
        <f>"📊 Calculated"</f>
        <v>📊 Calculated</v>
      </c>
    </row>
    <row r="13" spans="1:4" ht="30" x14ac:dyDescent="0.25">
      <c r="A13" s="12" t="s">
        <v>231</v>
      </c>
      <c r="B13" s="12">
        <f>MIN(tblGraduatePrograms[Tuition USD])</f>
        <v>8993.85</v>
      </c>
      <c r="C13" s="24"/>
      <c r="D13" s="12" t="str">
        <f>"📊 Calculated"</f>
        <v>📊 Calculated</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workbookViewId="0">
      <selection activeCell="D10" sqref="D10"/>
    </sheetView>
  </sheetViews>
  <sheetFormatPr defaultRowHeight="15" x14ac:dyDescent="0.25"/>
  <cols>
    <col min="1" max="1" width="18.28515625" customWidth="1"/>
    <col min="2" max="2" width="18.5703125" customWidth="1"/>
    <col min="4" max="4" width="18.5703125" customWidth="1"/>
    <col min="7" max="7" width="18.28515625" customWidth="1"/>
    <col min="10" max="10" width="13.42578125" customWidth="1"/>
    <col min="13" max="13" width="27.28515625" customWidth="1"/>
    <col min="19" max="19" width="18.140625" customWidth="1"/>
  </cols>
  <sheetData>
    <row r="1" spans="1:20" x14ac:dyDescent="0.25">
      <c r="A1" s="18" t="s">
        <v>25</v>
      </c>
      <c r="B1" s="18"/>
      <c r="C1" s="12"/>
      <c r="D1" s="18" t="s">
        <v>191</v>
      </c>
      <c r="E1" s="18"/>
      <c r="F1" s="12"/>
      <c r="G1" s="18" t="s">
        <v>5</v>
      </c>
      <c r="H1" s="18"/>
      <c r="I1" s="12"/>
      <c r="J1" s="18" t="s">
        <v>1</v>
      </c>
      <c r="K1" s="18"/>
      <c r="L1" s="15"/>
      <c r="M1" s="16" t="s">
        <v>8</v>
      </c>
      <c r="N1" s="16"/>
      <c r="O1" s="15"/>
      <c r="P1" s="16" t="s">
        <v>208</v>
      </c>
      <c r="Q1" s="16"/>
      <c r="S1" s="17" t="s">
        <v>210</v>
      </c>
      <c r="T1" s="17"/>
    </row>
    <row r="2" spans="1:20" ht="45" x14ac:dyDescent="0.25">
      <c r="A2" s="12" t="s">
        <v>145</v>
      </c>
      <c r="B2" s="12"/>
      <c r="C2" s="12"/>
      <c r="D2" s="12" t="s">
        <v>36</v>
      </c>
      <c r="E2" s="12"/>
      <c r="F2" s="12"/>
      <c r="G2" s="12" t="s">
        <v>19</v>
      </c>
      <c r="H2" s="12"/>
      <c r="I2" s="12"/>
      <c r="J2" s="12" t="s">
        <v>14</v>
      </c>
      <c r="K2" s="12"/>
      <c r="L2" s="15"/>
      <c r="M2" s="15" t="s">
        <v>204</v>
      </c>
      <c r="N2" s="15"/>
      <c r="O2" s="15"/>
      <c r="P2" s="15" t="s">
        <v>79</v>
      </c>
      <c r="Q2" s="15"/>
      <c r="S2" s="6" t="s">
        <v>211</v>
      </c>
    </row>
    <row r="3" spans="1:20" ht="15" customHeight="1" x14ac:dyDescent="0.25">
      <c r="A3" s="12" t="s">
        <v>17</v>
      </c>
      <c r="B3" s="12"/>
      <c r="C3" s="12"/>
      <c r="D3" s="12" t="s">
        <v>34</v>
      </c>
      <c r="E3" s="12"/>
      <c r="F3" s="12"/>
      <c r="G3" s="12" t="s">
        <v>200</v>
      </c>
      <c r="H3" s="12"/>
      <c r="I3" s="12"/>
      <c r="J3" s="12" t="s">
        <v>26</v>
      </c>
      <c r="K3" s="12"/>
      <c r="L3" s="15"/>
      <c r="M3" s="15" t="s">
        <v>205</v>
      </c>
      <c r="N3" s="15"/>
      <c r="O3" s="15"/>
      <c r="P3" s="15" t="s">
        <v>209</v>
      </c>
      <c r="Q3" s="15"/>
      <c r="S3" s="6" t="s">
        <v>193</v>
      </c>
    </row>
    <row r="4" spans="1:20" ht="45" x14ac:dyDescent="0.25">
      <c r="A4" s="12" t="s">
        <v>183</v>
      </c>
      <c r="B4" s="12"/>
      <c r="C4" s="12"/>
      <c r="D4" s="12" t="s">
        <v>194</v>
      </c>
      <c r="E4" s="12"/>
      <c r="F4" s="12"/>
      <c r="G4" s="12" t="s">
        <v>201</v>
      </c>
      <c r="H4" s="12"/>
      <c r="I4" s="12"/>
      <c r="J4" s="12"/>
      <c r="K4" s="12"/>
      <c r="L4" s="15"/>
      <c r="M4" s="15" t="s">
        <v>154</v>
      </c>
      <c r="N4" s="15"/>
      <c r="O4" s="15"/>
      <c r="P4" s="15"/>
      <c r="Q4" s="15"/>
      <c r="S4" s="3" t="s">
        <v>212</v>
      </c>
    </row>
    <row r="5" spans="1:20" ht="35.25" customHeight="1" x14ac:dyDescent="0.25">
      <c r="A5" s="12" t="s">
        <v>185</v>
      </c>
      <c r="B5" s="12"/>
      <c r="C5" s="12"/>
      <c r="D5" s="12" t="s">
        <v>195</v>
      </c>
      <c r="E5" s="12"/>
      <c r="F5" s="12"/>
      <c r="G5" s="12" t="s">
        <v>153</v>
      </c>
      <c r="H5" s="12"/>
      <c r="I5" s="12"/>
      <c r="J5" s="12"/>
      <c r="K5" s="12"/>
      <c r="L5" s="15"/>
      <c r="M5" s="15" t="s">
        <v>206</v>
      </c>
      <c r="N5" s="15"/>
      <c r="O5" s="15"/>
      <c r="P5" s="15"/>
      <c r="Q5" s="15"/>
      <c r="S5" s="3" t="s">
        <v>213</v>
      </c>
    </row>
    <row r="6" spans="1:20" ht="30" x14ac:dyDescent="0.25">
      <c r="A6" s="12" t="s">
        <v>184</v>
      </c>
      <c r="B6" s="12"/>
      <c r="C6" s="12"/>
      <c r="D6" s="12" t="s">
        <v>37</v>
      </c>
      <c r="E6" s="12"/>
      <c r="F6" s="12"/>
      <c r="G6" s="12" t="s">
        <v>188</v>
      </c>
      <c r="H6" s="12"/>
      <c r="I6" s="12"/>
      <c r="J6" s="12"/>
      <c r="K6" s="12"/>
      <c r="L6" s="15"/>
      <c r="M6" s="15" t="s">
        <v>207</v>
      </c>
      <c r="N6" s="15"/>
      <c r="O6" s="15"/>
      <c r="P6" s="15"/>
      <c r="Q6" s="15"/>
      <c r="S6" s="6" t="s">
        <v>214</v>
      </c>
    </row>
    <row r="7" spans="1:20" x14ac:dyDescent="0.25">
      <c r="A7" s="12" t="s">
        <v>192</v>
      </c>
      <c r="B7" s="12"/>
      <c r="C7" s="12"/>
      <c r="D7" s="12" t="s">
        <v>196</v>
      </c>
      <c r="E7" s="12"/>
      <c r="F7" s="12"/>
      <c r="G7" s="12" t="s">
        <v>202</v>
      </c>
      <c r="H7" s="12"/>
      <c r="I7" s="12"/>
      <c r="J7" s="12"/>
      <c r="K7" s="12"/>
      <c r="L7" s="15"/>
      <c r="M7" s="15"/>
      <c r="N7" s="15"/>
      <c r="O7" s="15"/>
      <c r="P7" s="15"/>
      <c r="Q7" s="15"/>
      <c r="S7" s="6"/>
    </row>
    <row r="8" spans="1:20" x14ac:dyDescent="0.25">
      <c r="A8" s="12" t="s">
        <v>193</v>
      </c>
      <c r="B8" s="12"/>
      <c r="C8" s="12"/>
      <c r="D8" s="12" t="s">
        <v>197</v>
      </c>
      <c r="E8" s="12"/>
      <c r="F8" s="12"/>
      <c r="G8" s="12" t="s">
        <v>203</v>
      </c>
      <c r="H8" s="12"/>
      <c r="I8" s="12"/>
      <c r="J8" s="12"/>
      <c r="K8" s="12"/>
      <c r="L8" s="15"/>
      <c r="M8" s="15"/>
      <c r="N8" s="15"/>
      <c r="O8" s="15"/>
      <c r="P8" s="15"/>
      <c r="Q8" s="15"/>
      <c r="S8" s="3"/>
    </row>
    <row r="9" spans="1:20" x14ac:dyDescent="0.25">
      <c r="A9" s="15"/>
      <c r="B9" s="15"/>
      <c r="C9" s="15"/>
      <c r="D9" s="15" t="s">
        <v>198</v>
      </c>
      <c r="E9" s="15"/>
      <c r="F9" s="15"/>
      <c r="G9" s="15"/>
      <c r="H9" s="15"/>
      <c r="I9" s="15"/>
      <c r="J9" s="15"/>
      <c r="K9" s="15"/>
      <c r="L9" s="15"/>
      <c r="M9" s="15"/>
      <c r="N9" s="15"/>
      <c r="O9" s="15"/>
      <c r="P9" s="15"/>
      <c r="Q9" s="15"/>
      <c r="S9" s="6"/>
    </row>
    <row r="10" spans="1:20" ht="30" x14ac:dyDescent="0.25">
      <c r="A10" s="15"/>
      <c r="B10" s="15"/>
      <c r="C10" s="15"/>
      <c r="D10" s="12" t="s">
        <v>199</v>
      </c>
      <c r="E10" s="15"/>
      <c r="F10" s="15"/>
      <c r="G10" s="15"/>
      <c r="H10" s="15"/>
      <c r="I10" s="15"/>
      <c r="J10" s="15"/>
      <c r="K10" s="15"/>
      <c r="L10" s="15"/>
      <c r="M10" s="15"/>
      <c r="N10" s="15"/>
      <c r="O10" s="15"/>
      <c r="P10" s="15"/>
      <c r="Q10" s="15"/>
      <c r="S10" s="6"/>
    </row>
  </sheetData>
  <mergeCells count="7">
    <mergeCell ref="P1:Q1"/>
    <mergeCell ref="S1:T1"/>
    <mergeCell ref="A1:B1"/>
    <mergeCell ref="D1:E1"/>
    <mergeCell ref="G1:H1"/>
    <mergeCell ref="J1:K1"/>
    <mergeCell ref="M1:N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zoomScale="110" zoomScaleNormal="110" workbookViewId="0">
      <selection activeCell="A13" sqref="A13"/>
    </sheetView>
  </sheetViews>
  <sheetFormatPr defaultRowHeight="15" x14ac:dyDescent="0.25"/>
  <cols>
    <col min="1" max="1" width="18.42578125" style="3" customWidth="1"/>
    <col min="2" max="2" width="36.5703125" style="3" bestFit="1" customWidth="1"/>
    <col min="3" max="3" width="18.28515625" style="3" customWidth="1"/>
    <col min="4" max="4" width="24.5703125" style="3" customWidth="1"/>
    <col min="5" max="5" width="32.28515625" style="3" customWidth="1"/>
    <col min="6" max="6" width="28.28515625" style="3" customWidth="1"/>
    <col min="7" max="16384" width="9.140625" style="3"/>
  </cols>
  <sheetData>
    <row r="1" spans="1:6" x14ac:dyDescent="0.25">
      <c r="A1" s="1" t="s">
        <v>39</v>
      </c>
      <c r="B1" s="1" t="s">
        <v>48</v>
      </c>
      <c r="C1" s="1" t="s">
        <v>40</v>
      </c>
      <c r="D1" s="1" t="s">
        <v>41</v>
      </c>
      <c r="E1" s="1" t="s">
        <v>83</v>
      </c>
      <c r="F1" s="1" t="s">
        <v>9</v>
      </c>
    </row>
    <row r="2" spans="1:6" ht="30" x14ac:dyDescent="0.25">
      <c r="A2" s="8" t="s">
        <v>0</v>
      </c>
      <c r="B2" s="2" t="s">
        <v>45</v>
      </c>
      <c r="C2" s="2" t="s">
        <v>42</v>
      </c>
      <c r="D2" s="2" t="s">
        <v>20</v>
      </c>
      <c r="E2" s="2" t="s">
        <v>84</v>
      </c>
      <c r="F2" s="2" t="s">
        <v>61</v>
      </c>
    </row>
    <row r="3" spans="1:6" ht="45" x14ac:dyDescent="0.25">
      <c r="A3" s="8" t="s">
        <v>1</v>
      </c>
      <c r="B3" s="2" t="s">
        <v>46</v>
      </c>
      <c r="C3" s="2" t="s">
        <v>42</v>
      </c>
      <c r="D3" s="2" t="s">
        <v>26</v>
      </c>
      <c r="E3" s="2" t="s">
        <v>85</v>
      </c>
      <c r="F3" s="2" t="s">
        <v>62</v>
      </c>
    </row>
    <row r="4" spans="1:6" ht="45" x14ac:dyDescent="0.25">
      <c r="A4" s="8" t="s">
        <v>2</v>
      </c>
      <c r="B4" s="2" t="s">
        <v>47</v>
      </c>
      <c r="C4" s="2" t="s">
        <v>42</v>
      </c>
      <c r="D4" s="2" t="s">
        <v>29</v>
      </c>
      <c r="E4" s="2" t="s">
        <v>86</v>
      </c>
      <c r="F4" s="2" t="s">
        <v>63</v>
      </c>
    </row>
    <row r="5" spans="1:6" ht="30" x14ac:dyDescent="0.25">
      <c r="A5" s="8" t="s">
        <v>3</v>
      </c>
      <c r="B5" s="2" t="s">
        <v>49</v>
      </c>
      <c r="C5" s="2" t="s">
        <v>42</v>
      </c>
      <c r="D5" s="2" t="s">
        <v>64</v>
      </c>
      <c r="E5" s="2" t="s">
        <v>87</v>
      </c>
      <c r="F5" s="2" t="s">
        <v>65</v>
      </c>
    </row>
    <row r="6" spans="1:6" ht="120" x14ac:dyDescent="0.25">
      <c r="A6" s="8" t="s">
        <v>25</v>
      </c>
      <c r="B6" s="2" t="s">
        <v>50</v>
      </c>
      <c r="C6" s="2" t="s">
        <v>42</v>
      </c>
      <c r="D6" s="2" t="s">
        <v>17</v>
      </c>
      <c r="E6" s="2" t="s">
        <v>88</v>
      </c>
      <c r="F6" s="2" t="s">
        <v>66</v>
      </c>
    </row>
    <row r="7" spans="1:6" ht="135" x14ac:dyDescent="0.25">
      <c r="A7" s="8" t="s">
        <v>4</v>
      </c>
      <c r="B7" s="2" t="s">
        <v>51</v>
      </c>
      <c r="C7" s="2" t="s">
        <v>42</v>
      </c>
      <c r="D7" s="2" t="s">
        <v>67</v>
      </c>
      <c r="E7" s="2" t="s">
        <v>89</v>
      </c>
      <c r="F7" s="2" t="s">
        <v>68</v>
      </c>
    </row>
    <row r="8" spans="1:6" ht="30" x14ac:dyDescent="0.25">
      <c r="A8" s="8" t="s">
        <v>5</v>
      </c>
      <c r="B8" s="2" t="s">
        <v>52</v>
      </c>
      <c r="C8" s="2" t="s">
        <v>42</v>
      </c>
      <c r="D8" s="2" t="s">
        <v>19</v>
      </c>
      <c r="E8" s="2" t="s">
        <v>90</v>
      </c>
      <c r="F8" s="2" t="s">
        <v>69</v>
      </c>
    </row>
    <row r="9" spans="1:6" ht="30" x14ac:dyDescent="0.25">
      <c r="A9" s="8" t="s">
        <v>38</v>
      </c>
      <c r="B9" s="2" t="s">
        <v>53</v>
      </c>
      <c r="C9" s="2" t="s">
        <v>44</v>
      </c>
      <c r="D9" s="4">
        <v>2</v>
      </c>
      <c r="E9" s="2" t="s">
        <v>91</v>
      </c>
      <c r="F9" s="2" t="s">
        <v>70</v>
      </c>
    </row>
    <row r="10" spans="1:6" ht="45" x14ac:dyDescent="0.25">
      <c r="A10" s="8" t="s">
        <v>43</v>
      </c>
      <c r="B10" s="2" t="s">
        <v>54</v>
      </c>
      <c r="C10" s="2" t="s">
        <v>44</v>
      </c>
      <c r="D10" s="4">
        <v>47</v>
      </c>
      <c r="E10" s="2" t="s">
        <v>92</v>
      </c>
      <c r="F10" s="2" t="s">
        <v>71</v>
      </c>
    </row>
    <row r="11" spans="1:6" ht="45" x14ac:dyDescent="0.25">
      <c r="A11" s="8" t="s">
        <v>7</v>
      </c>
      <c r="B11" s="2" t="s">
        <v>55</v>
      </c>
      <c r="C11" s="2" t="s">
        <v>72</v>
      </c>
      <c r="D11" s="4">
        <v>6500</v>
      </c>
      <c r="E11" s="2" t="s">
        <v>93</v>
      </c>
      <c r="F11" s="2" t="s">
        <v>73</v>
      </c>
    </row>
    <row r="12" spans="1:6" ht="75" x14ac:dyDescent="0.25">
      <c r="A12" s="8" t="s">
        <v>98</v>
      </c>
      <c r="B12" s="2" t="s">
        <v>56</v>
      </c>
      <c r="C12" s="2" t="s">
        <v>42</v>
      </c>
      <c r="D12" s="2" t="s">
        <v>74</v>
      </c>
      <c r="E12" s="2" t="s">
        <v>94</v>
      </c>
      <c r="F12" s="2" t="s">
        <v>75</v>
      </c>
    </row>
    <row r="13" spans="1:6" ht="60" x14ac:dyDescent="0.25">
      <c r="A13" s="8" t="s">
        <v>8</v>
      </c>
      <c r="B13" s="2" t="s">
        <v>57</v>
      </c>
      <c r="C13" s="2" t="s">
        <v>42</v>
      </c>
      <c r="D13" s="2" t="s">
        <v>76</v>
      </c>
      <c r="E13" s="2" t="s">
        <v>95</v>
      </c>
      <c r="F13" s="2" t="s">
        <v>77</v>
      </c>
    </row>
    <row r="14" spans="1:6" ht="45" x14ac:dyDescent="0.25">
      <c r="A14" s="8" t="s">
        <v>58</v>
      </c>
      <c r="B14" s="2" t="s">
        <v>59</v>
      </c>
      <c r="C14" s="2" t="s">
        <v>78</v>
      </c>
      <c r="D14" s="2" t="s">
        <v>79</v>
      </c>
      <c r="E14" s="2" t="s">
        <v>96</v>
      </c>
      <c r="F14" s="2" t="s">
        <v>80</v>
      </c>
    </row>
    <row r="15" spans="1:6" ht="45" x14ac:dyDescent="0.25">
      <c r="A15" s="8" t="s">
        <v>9</v>
      </c>
      <c r="B15" s="2" t="s">
        <v>60</v>
      </c>
      <c r="C15" s="2" t="s">
        <v>42</v>
      </c>
      <c r="D15" s="2" t="s">
        <v>81</v>
      </c>
      <c r="E15" s="2" t="s">
        <v>97</v>
      </c>
      <c r="F15" s="2" t="s">
        <v>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workbookViewId="0">
      <selection activeCell="A45" sqref="A45:B45"/>
    </sheetView>
  </sheetViews>
  <sheetFormatPr defaultRowHeight="15" x14ac:dyDescent="0.25"/>
  <cols>
    <col min="1" max="1" width="23.85546875" customWidth="1"/>
    <col min="2" max="2" width="55.28515625" customWidth="1"/>
    <col min="3" max="3" width="27.7109375" customWidth="1"/>
  </cols>
  <sheetData>
    <row r="1" spans="1:8" ht="15" customHeight="1" x14ac:dyDescent="0.25">
      <c r="A1" s="20" t="s">
        <v>108</v>
      </c>
      <c r="B1" s="20"/>
      <c r="C1" s="20"/>
      <c r="D1" s="20"/>
      <c r="E1" s="20"/>
      <c r="F1" s="20"/>
      <c r="G1" s="20"/>
      <c r="H1" s="20"/>
    </row>
    <row r="2" spans="1:8" x14ac:dyDescent="0.25">
      <c r="A2" s="10"/>
      <c r="B2" s="10"/>
    </row>
    <row r="3" spans="1:8" x14ac:dyDescent="0.25">
      <c r="A3" s="21" t="s">
        <v>134</v>
      </c>
      <c r="B3" s="21"/>
    </row>
    <row r="4" spans="1:8" x14ac:dyDescent="0.25">
      <c r="A4" s="1" t="s">
        <v>120</v>
      </c>
      <c r="B4" s="1" t="s">
        <v>121</v>
      </c>
    </row>
    <row r="5" spans="1:8" x14ac:dyDescent="0.25">
      <c r="A5" s="2" t="s">
        <v>109</v>
      </c>
      <c r="B5" s="2" t="s">
        <v>110</v>
      </c>
    </row>
    <row r="6" spans="1:8" x14ac:dyDescent="0.25">
      <c r="A6" s="2" t="s">
        <v>111</v>
      </c>
      <c r="B6" s="2" t="s">
        <v>112</v>
      </c>
    </row>
    <row r="7" spans="1:8" x14ac:dyDescent="0.25">
      <c r="A7" s="2" t="s">
        <v>113</v>
      </c>
      <c r="B7" s="2" t="s">
        <v>114</v>
      </c>
    </row>
    <row r="8" spans="1:8" x14ac:dyDescent="0.25">
      <c r="A8" s="2" t="s">
        <v>115</v>
      </c>
      <c r="B8" s="2" t="s">
        <v>116</v>
      </c>
    </row>
    <row r="9" spans="1:8" x14ac:dyDescent="0.25">
      <c r="A9" s="2" t="s">
        <v>117</v>
      </c>
      <c r="B9" s="2" t="s">
        <v>122</v>
      </c>
    </row>
    <row r="10" spans="1:8" x14ac:dyDescent="0.25">
      <c r="A10" s="2" t="s">
        <v>118</v>
      </c>
      <c r="B10" s="2" t="s">
        <v>119</v>
      </c>
    </row>
    <row r="13" spans="1:8" ht="44.25" customHeight="1" x14ac:dyDescent="0.25">
      <c r="A13" s="18" t="s">
        <v>123</v>
      </c>
      <c r="B13" s="18"/>
      <c r="C13" s="18"/>
      <c r="D13" s="18"/>
      <c r="E13" s="18"/>
      <c r="F13" s="18"/>
      <c r="G13" s="18"/>
      <c r="H13" s="18"/>
    </row>
    <row r="18" spans="1:2" x14ac:dyDescent="0.25">
      <c r="A18" s="22" t="s">
        <v>135</v>
      </c>
      <c r="B18" s="22"/>
    </row>
    <row r="19" spans="1:2" x14ac:dyDescent="0.25">
      <c r="A19" s="1" t="s">
        <v>99</v>
      </c>
      <c r="B19" s="1" t="s">
        <v>100</v>
      </c>
    </row>
    <row r="20" spans="1:2" ht="30" x14ac:dyDescent="0.25">
      <c r="A20" s="2" t="s">
        <v>103</v>
      </c>
      <c r="B20" s="2" t="s">
        <v>101</v>
      </c>
    </row>
    <row r="21" spans="1:2" ht="30" x14ac:dyDescent="0.25">
      <c r="A21" s="2" t="s">
        <v>104</v>
      </c>
      <c r="B21" s="2" t="s">
        <v>124</v>
      </c>
    </row>
    <row r="22" spans="1:2" ht="30" x14ac:dyDescent="0.25">
      <c r="A22" s="2" t="s">
        <v>105</v>
      </c>
      <c r="B22" s="2" t="s">
        <v>102</v>
      </c>
    </row>
    <row r="23" spans="1:2" x14ac:dyDescent="0.25">
      <c r="A23" s="2" t="s">
        <v>106</v>
      </c>
      <c r="B23" s="2" t="s">
        <v>125</v>
      </c>
    </row>
    <row r="24" spans="1:2" ht="30" x14ac:dyDescent="0.25">
      <c r="A24" s="2" t="s">
        <v>107</v>
      </c>
      <c r="B24" s="2" t="s">
        <v>126</v>
      </c>
    </row>
    <row r="28" spans="1:2" x14ac:dyDescent="0.25">
      <c r="A28" s="22" t="s">
        <v>136</v>
      </c>
      <c r="B28" s="22"/>
    </row>
    <row r="29" spans="1:2" x14ac:dyDescent="0.25">
      <c r="A29" s="1" t="s">
        <v>127</v>
      </c>
      <c r="B29" s="1" t="s">
        <v>128</v>
      </c>
    </row>
    <row r="30" spans="1:2" ht="30" x14ac:dyDescent="0.25">
      <c r="A30" s="2" t="s">
        <v>129</v>
      </c>
      <c r="B30" s="2" t="s">
        <v>130</v>
      </c>
    </row>
    <row r="31" spans="1:2" ht="30" x14ac:dyDescent="0.25">
      <c r="A31" s="2" t="s">
        <v>131</v>
      </c>
      <c r="B31" s="2" t="s">
        <v>43</v>
      </c>
    </row>
    <row r="32" spans="1:2" x14ac:dyDescent="0.25">
      <c r="A32" s="2" t="s">
        <v>132</v>
      </c>
      <c r="B32" s="2" t="s">
        <v>133</v>
      </c>
    </row>
    <row r="36" spans="1:3" x14ac:dyDescent="0.25">
      <c r="A36" s="22" t="s">
        <v>137</v>
      </c>
      <c r="B36" s="22"/>
    </row>
    <row r="37" spans="1:3" ht="30" customHeight="1" x14ac:dyDescent="0.25">
      <c r="A37" s="1" t="s">
        <v>127</v>
      </c>
      <c r="B37" s="1" t="s">
        <v>128</v>
      </c>
      <c r="C37" s="9"/>
    </row>
    <row r="38" spans="1:3" ht="30" customHeight="1" x14ac:dyDescent="0.25">
      <c r="A38" s="2" t="s">
        <v>129</v>
      </c>
      <c r="B38" s="2" t="s">
        <v>130</v>
      </c>
      <c r="C38" s="10"/>
    </row>
    <row r="39" spans="1:3" ht="75" customHeight="1" x14ac:dyDescent="0.25">
      <c r="A39" s="2" t="s">
        <v>131</v>
      </c>
      <c r="B39" s="2" t="s">
        <v>43</v>
      </c>
      <c r="C39" s="10"/>
    </row>
    <row r="40" spans="1:3" x14ac:dyDescent="0.25">
      <c r="A40" s="2" t="s">
        <v>132</v>
      </c>
      <c r="B40" s="2" t="s">
        <v>133</v>
      </c>
      <c r="C40" s="10"/>
    </row>
    <row r="45" spans="1:3" ht="18" x14ac:dyDescent="0.25">
      <c r="A45" s="19" t="s">
        <v>138</v>
      </c>
      <c r="B45" s="19"/>
    </row>
    <row r="47" spans="1:3" x14ac:dyDescent="0.25">
      <c r="A47" t="s">
        <v>139</v>
      </c>
    </row>
    <row r="48" spans="1:3" x14ac:dyDescent="0.25">
      <c r="A48" s="11"/>
    </row>
    <row r="49" spans="1:1" x14ac:dyDescent="0.25">
      <c r="A49" s="11" t="s">
        <v>140</v>
      </c>
    </row>
    <row r="50" spans="1:1" x14ac:dyDescent="0.25">
      <c r="A50" s="11" t="s">
        <v>141</v>
      </c>
    </row>
    <row r="51" spans="1:1" x14ac:dyDescent="0.25">
      <c r="A51" s="11" t="s">
        <v>142</v>
      </c>
    </row>
  </sheetData>
  <mergeCells count="7">
    <mergeCell ref="A45:B45"/>
    <mergeCell ref="A1:H1"/>
    <mergeCell ref="A13:H13"/>
    <mergeCell ref="A3:B3"/>
    <mergeCell ref="A18:B18"/>
    <mergeCell ref="A28:B28"/>
    <mergeCell ref="A36:B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Data_Quality_Check</vt:lpstr>
      <vt:lpstr>Lookup</vt:lpstr>
      <vt:lpstr>Data_Dictionary</vt:lpstr>
      <vt:lpstr>Data_Quality_Log</vt:lpstr>
      <vt:lpstr>Cleaning_Log</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2026-06-27T01:18:17Z</dcterms:created>
  <dcterms:modified xsi:type="dcterms:W3CDTF">2026-07-09T03:50:35Z</dcterms:modified>
</cp:coreProperties>
</file>